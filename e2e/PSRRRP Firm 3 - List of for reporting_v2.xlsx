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SBstruc\2026\PSRRRP Firm 3\"/>
    </mc:Choice>
  </mc:AlternateContent>
  <xr:revisionPtr revIDLastSave="0" documentId="8_{4FB822EF-7883-4B59-B8FD-1AC299D5FCDD}" xr6:coauthVersionLast="47" xr6:coauthVersionMax="47" xr10:uidLastSave="{00000000-0000-0000-0000-000000000000}"/>
  <bookViews>
    <workbookView xWindow="-108" yWindow="-108" windowWidth="23256" windowHeight="12456" xr2:uid="{97A3CE18-1E84-44E8-932B-C9733C7441EA}"/>
  </bookViews>
  <sheets>
    <sheet name="Sheet3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" i="3"/>
  <c r="R20" i="3"/>
  <c r="S20" i="3"/>
  <c r="R21" i="3"/>
  <c r="S21" i="3"/>
  <c r="R22" i="3"/>
  <c r="S22" i="3"/>
  <c r="R23" i="3"/>
  <c r="S23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</calcChain>
</file>

<file path=xl/sharedStrings.xml><?xml version="1.0" encoding="utf-8"?>
<sst xmlns="http://schemas.openxmlformats.org/spreadsheetml/2006/main" count="153" uniqueCount="85">
  <si>
    <t>Kapitan Eddie T. Reyes Integrated School - DepED Building 2</t>
  </si>
  <si>
    <t>Nov</t>
  </si>
  <si>
    <t>Phase 2, Brgy. Pinagsama, Taguig City</t>
  </si>
  <si>
    <t>No. of Storey</t>
  </si>
  <si>
    <t xml:space="preserve">Testing Date </t>
  </si>
  <si>
    <t>Mayor Simplicio Manalo National High School - DepEd Standard School Building (Bldg.3)</t>
  </si>
  <si>
    <t>E. Quiogue St. Sta. Ana Taguig City</t>
  </si>
  <si>
    <t>C.P Sta. Teresa Elementary School - Carino Building (Bldg.12)</t>
  </si>
  <si>
    <t>Manuel L. Quezon St. Taguig City</t>
  </si>
  <si>
    <t xml:space="preserve">North Daang Hari Elementary School - Building No. 3 - LGU Building </t>
  </si>
  <si>
    <t xml:space="preserve">Aguho Elementary School - Bagong Lipunan type lll Building (Bldg.3) </t>
  </si>
  <si>
    <t>Rd. 39, North Daang Hari, Taguig City</t>
  </si>
  <si>
    <t xml:space="preserve">Brgy. Aguho, Pateros City </t>
  </si>
  <si>
    <t xml:space="preserve">Bagumbayan National High School - DepEd Standard School Building (Bldg.8) </t>
  </si>
  <si>
    <t xml:space="preserve">Bagumbayan, Taguig City </t>
  </si>
  <si>
    <t xml:space="preserve">Maharlika Elementary School - MRT Building </t>
  </si>
  <si>
    <t>Pendatun St. Maharlika Village, Taguig City</t>
  </si>
  <si>
    <t>Eusebio C. Santos Elementary School - I Love Taguig Building (Bldg.2)</t>
  </si>
  <si>
    <t>Manuel L. Quezon Avenue, Taguig City</t>
  </si>
  <si>
    <t>Liwayway St. Sta. Ana. Taguig City</t>
  </si>
  <si>
    <t>Gen. Ricardo G. Papa Sr. Memorial High School Annex - Municipal Building</t>
  </si>
  <si>
    <t>Gen. Luna St. Ususan, Taguig City</t>
  </si>
  <si>
    <t>President Diosdado Macapagal High School - Building A</t>
  </si>
  <si>
    <t>8th St. GHQ Village, Brgy. Katuparan, Taguig City</t>
  </si>
  <si>
    <t xml:space="preserve">Tenement Elementary School - Bagong Lipunan Building 3 (Bldg.5) </t>
  </si>
  <si>
    <t>East Service Road, Western Bicutan, Taguig City</t>
  </si>
  <si>
    <t xml:space="preserve">Rizal High School - Science Building l </t>
  </si>
  <si>
    <t>Dr. Sixto Antonio St. Brgy. Caniogan Pasig City</t>
  </si>
  <si>
    <t xml:space="preserve">Liberato Damian Elementary School - Home Economics Building </t>
  </si>
  <si>
    <t>Kapitan Atos St. Brgy. Sta Cruz, Pasig City</t>
  </si>
  <si>
    <t xml:space="preserve">Palatiw Elementary School - Soledad C. Eusebio Building l </t>
  </si>
  <si>
    <t>164 M.H. Del Pilar St. Brgy. Palatiw, Pasig City</t>
  </si>
  <si>
    <t>Marisol Subdivision Brgy. Santolan, Pasig City</t>
  </si>
  <si>
    <t>Santolan High School - Vicente P. Eusebio Building l</t>
  </si>
  <si>
    <t xml:space="preserve">Manggahan Elementary School - RCE Building </t>
  </si>
  <si>
    <t>Magsaysay Ave. Manggahan, Pasig City</t>
  </si>
  <si>
    <t xml:space="preserve">Rizal High School - Rufino Javier Building l </t>
  </si>
  <si>
    <t xml:space="preserve">Sagad High School - NCR Building </t>
  </si>
  <si>
    <t>E. Angeles St. Brgy. Sagad, Pasig City</t>
  </si>
  <si>
    <t xml:space="preserve">Manggahan High School - Vicente P. Eusebio Building l </t>
  </si>
  <si>
    <t xml:space="preserve">Manggahan High school - Bobby C. Eusebio Building </t>
  </si>
  <si>
    <t xml:space="preserve">Gen. Ricardo G. Papa Sr. Memorial High School Annex - Cayetano Building </t>
  </si>
  <si>
    <t>Dec</t>
  </si>
  <si>
    <t>Jan</t>
  </si>
  <si>
    <t>Taguig Integraded School - Cayetano l Building (Bldg.3)</t>
  </si>
  <si>
    <t xml:space="preserve">Nov </t>
  </si>
  <si>
    <t>SikaGrout®-212 PH</t>
  </si>
  <si>
    <t>Sikadur®-732</t>
  </si>
  <si>
    <t>Sikadur®-733</t>
  </si>
  <si>
    <t>Sikadur®-734</t>
  </si>
  <si>
    <t>Sikadur®-735</t>
  </si>
  <si>
    <t>Sikadur®-736</t>
  </si>
  <si>
    <t>Sikadur®-737</t>
  </si>
  <si>
    <t>Sikadur®-738</t>
  </si>
  <si>
    <t>Sikadur®-739</t>
  </si>
  <si>
    <t>Sikadur®-740</t>
  </si>
  <si>
    <t>Sikadur®-741</t>
  </si>
  <si>
    <t>Sikadur®-742</t>
  </si>
  <si>
    <t>Sikadur®-743</t>
  </si>
  <si>
    <t>Sikadur®-744</t>
  </si>
  <si>
    <t>Sikadur®-745</t>
  </si>
  <si>
    <t>Sikadur®-746</t>
  </si>
  <si>
    <t>Sikadur®-747</t>
  </si>
  <si>
    <t>Sikadur®-748</t>
  </si>
  <si>
    <t>Sikadur®-749</t>
  </si>
  <si>
    <t>Sikadur®-750</t>
  </si>
  <si>
    <t>Sikadur®-751</t>
  </si>
  <si>
    <t>Sikadur®-752</t>
  </si>
  <si>
    <t>Sikadur®-753</t>
  </si>
  <si>
    <t>A&amp;B</t>
  </si>
  <si>
    <t>NSG</t>
  </si>
  <si>
    <t>FTG Scan</t>
  </si>
  <si>
    <t>compiled</t>
  </si>
  <si>
    <t>w/ Bldg scan</t>
  </si>
  <si>
    <t>scan pics</t>
  </si>
  <si>
    <t>ok</t>
  </si>
  <si>
    <t xml:space="preserve">Building Name </t>
  </si>
  <si>
    <t>Building Location</t>
  </si>
  <si>
    <t>#Rebar Extraction</t>
  </si>
  <si>
    <t># Rebar Scanning</t>
  </si>
  <si>
    <t xml:space="preserve"># Concrete Core </t>
  </si>
  <si>
    <t># Rebound Hammer</t>
  </si>
  <si>
    <t># Substructure Scaning</t>
  </si>
  <si>
    <t># Substructure Concrete Core Ex</t>
  </si>
  <si>
    <t># Slab Chipping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</si>
</sst>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4" borderId="0" xfId="0" applyFont="1" applyFill="1"/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99B4-9EAF-433E-B27A-7D4C67D999DA}">
  <dimension ref="A1:Y25"/>
  <sheetViews>
    <sheetView tabSelected="1" zoomScale="85" zoomScaleNormal="85" workbookViewId="0">
      <selection activeCell="H30" sqref="H30"/>
    </sheetView>
  </sheetViews>
  <sheetFormatPr defaultRowHeight="14.4" x14ac:dyDescent="0.3"/>
  <cols>
    <col min="8" max="8" width="19.33203125" customWidth="1"/>
    <col min="14" max="14" width="14.44140625" customWidth="1"/>
    <col min="17" max="18" width="11.6640625" customWidth="1"/>
    <col min="19" max="19" width="10.6640625" customWidth="1"/>
    <col min="20" max="20" width="9.44140625" customWidth="1"/>
    <col min="22" max="22" width="13.77734375" customWidth="1"/>
    <col min="23" max="23" width="17.44140625" customWidth="1"/>
    <col min="24" max="24" width="17.88671875" customWidth="1"/>
    <col min="25" max="25" width="13.88671875" customWidth="1"/>
  </cols>
  <sheetData>
    <row r="1" spans="1:25" ht="29.4" customHeight="1" x14ac:dyDescent="0.3">
      <c r="A1" s="4"/>
      <c r="B1" s="10" t="s">
        <v>76</v>
      </c>
      <c r="C1" s="10"/>
      <c r="D1" s="10"/>
      <c r="E1" s="10"/>
      <c r="F1" s="10"/>
      <c r="G1" s="10"/>
      <c r="H1" s="10"/>
      <c r="I1" s="11" t="s">
        <v>4</v>
      </c>
      <c r="J1" s="11"/>
      <c r="K1" s="10" t="s">
        <v>77</v>
      </c>
      <c r="L1" s="10"/>
      <c r="M1" s="10"/>
      <c r="N1" s="10"/>
      <c r="O1" s="11" t="s">
        <v>3</v>
      </c>
      <c r="P1" s="11"/>
      <c r="Q1" s="18" t="s">
        <v>80</v>
      </c>
      <c r="R1" s="18" t="s">
        <v>81</v>
      </c>
      <c r="S1" s="18" t="s">
        <v>79</v>
      </c>
      <c r="T1" s="18" t="s">
        <v>78</v>
      </c>
      <c r="U1" s="18" t="s">
        <v>84</v>
      </c>
      <c r="V1" s="19" t="s">
        <v>82</v>
      </c>
      <c r="W1" s="19" t="s">
        <v>83</v>
      </c>
      <c r="X1" s="5" t="s">
        <v>70</v>
      </c>
      <c r="Y1" s="5" t="s">
        <v>69</v>
      </c>
    </row>
    <row r="2" spans="1:25" hidden="1" x14ac:dyDescent="0.3">
      <c r="A2" s="1">
        <v>1</v>
      </c>
      <c r="B2" s="9" t="s">
        <v>0</v>
      </c>
      <c r="C2" s="9"/>
      <c r="D2" s="9"/>
      <c r="E2" s="9"/>
      <c r="F2" s="9"/>
      <c r="G2" s="9"/>
      <c r="H2" s="9"/>
      <c r="I2" s="3" t="s">
        <v>1</v>
      </c>
      <c r="J2" s="3">
        <v>2025</v>
      </c>
      <c r="K2" s="9" t="s">
        <v>2</v>
      </c>
      <c r="L2" s="9"/>
      <c r="M2" s="9"/>
      <c r="N2" s="9"/>
      <c r="O2" s="12">
        <v>2</v>
      </c>
      <c r="P2" s="12"/>
      <c r="Q2" s="2">
        <f>IF($O2=2,8,IF($O2=3,8,IF($O2=4,11,IF($O2=5,11,IF($O2=6,17,IF($O2=7,17))))))-2</f>
        <v>6</v>
      </c>
      <c r="R2" s="2">
        <f>IF($O2=2,12,IF($O2=3,18,IF($O2=4,24,IF($O2=5,30,IF($O2=6,36,IF($O2=7,42))))))</f>
        <v>12</v>
      </c>
      <c r="S2" s="2">
        <f>IF($O2=2,8,IF($O2=3,11,IF($O2=4,14,IF($O2=5,17,IF($O2=6,20,IF($O2=7,23))))))</f>
        <v>8</v>
      </c>
      <c r="T2" s="1">
        <v>2</v>
      </c>
      <c r="U2" s="1">
        <v>1</v>
      </c>
      <c r="V2" s="6">
        <v>2</v>
      </c>
      <c r="X2" s="7" t="s">
        <v>46</v>
      </c>
      <c r="Y2" s="7" t="s">
        <v>47</v>
      </c>
    </row>
    <row r="3" spans="1:25" hidden="1" x14ac:dyDescent="0.3">
      <c r="A3" s="1">
        <v>2</v>
      </c>
      <c r="B3" s="9" t="s">
        <v>5</v>
      </c>
      <c r="C3" s="9"/>
      <c r="D3" s="9"/>
      <c r="E3" s="9"/>
      <c r="F3" s="9"/>
      <c r="G3" s="9"/>
      <c r="H3" s="9"/>
      <c r="I3" s="3" t="s">
        <v>1</v>
      </c>
      <c r="J3" s="3">
        <v>2025</v>
      </c>
      <c r="K3" s="9" t="s">
        <v>6</v>
      </c>
      <c r="L3" s="9"/>
      <c r="M3" s="9"/>
      <c r="N3" s="9"/>
      <c r="O3" s="12">
        <v>3</v>
      </c>
      <c r="P3" s="12"/>
      <c r="Q3" s="2">
        <f t="shared" ref="Q3:Q23" si="0">IF($O3=2,8,IF($O3=3,8,IF($O3=4,11,IF($O3=5,11,IF($O3=6,17,IF($O3=7,17))))))-2</f>
        <v>6</v>
      </c>
      <c r="R3" s="2">
        <f t="shared" ref="R3:R23" si="1">IF($O3=2,12,IF($O3=3,18,IF($O3=4,24,IF($O3=5,30,IF($O3=6,36,IF($O3=7,42))))))</f>
        <v>18</v>
      </c>
      <c r="S3" s="2">
        <f t="shared" ref="S3:S23" si="2">IF($O3=2,8,IF($O3=3,11,IF($O3=4,14,IF($O3=5,17,IF($O3=6,20,IF($O3=7,23))))))</f>
        <v>11</v>
      </c>
      <c r="T3" s="1">
        <v>2</v>
      </c>
      <c r="U3" s="1">
        <v>1</v>
      </c>
      <c r="V3" s="6">
        <v>2</v>
      </c>
      <c r="X3" s="7" t="s">
        <v>46</v>
      </c>
      <c r="Y3" s="7" t="s">
        <v>48</v>
      </c>
    </row>
    <row r="4" spans="1:25" hidden="1" x14ac:dyDescent="0.3">
      <c r="A4" s="1">
        <v>3</v>
      </c>
      <c r="B4" s="9" t="s">
        <v>7</v>
      </c>
      <c r="C4" s="9"/>
      <c r="D4" s="9"/>
      <c r="E4" s="9"/>
      <c r="F4" s="9"/>
      <c r="G4" s="9"/>
      <c r="H4" s="9"/>
      <c r="I4" s="3" t="s">
        <v>1</v>
      </c>
      <c r="J4" s="3">
        <v>2025</v>
      </c>
      <c r="K4" s="9" t="s">
        <v>8</v>
      </c>
      <c r="L4" s="9"/>
      <c r="M4" s="9"/>
      <c r="N4" s="9"/>
      <c r="O4" s="12">
        <v>2</v>
      </c>
      <c r="P4" s="12"/>
      <c r="Q4" s="2">
        <f t="shared" si="0"/>
        <v>6</v>
      </c>
      <c r="R4" s="2">
        <f t="shared" si="1"/>
        <v>12</v>
      </c>
      <c r="S4" s="2">
        <f t="shared" si="2"/>
        <v>8</v>
      </c>
      <c r="T4" s="1">
        <v>2</v>
      </c>
      <c r="U4" s="1">
        <v>1</v>
      </c>
      <c r="V4" s="6">
        <v>2</v>
      </c>
      <c r="X4" s="7" t="s">
        <v>46</v>
      </c>
      <c r="Y4" s="7" t="s">
        <v>49</v>
      </c>
    </row>
    <row r="5" spans="1:25" hidden="1" x14ac:dyDescent="0.3">
      <c r="A5" s="1">
        <v>4</v>
      </c>
      <c r="B5" s="9" t="s">
        <v>9</v>
      </c>
      <c r="C5" s="9"/>
      <c r="D5" s="9"/>
      <c r="E5" s="9"/>
      <c r="F5" s="9"/>
      <c r="G5" s="9"/>
      <c r="H5" s="9"/>
      <c r="I5" s="3" t="s">
        <v>1</v>
      </c>
      <c r="J5" s="3">
        <v>2025</v>
      </c>
      <c r="K5" s="9" t="s">
        <v>11</v>
      </c>
      <c r="L5" s="9"/>
      <c r="M5" s="9"/>
      <c r="N5" s="9"/>
      <c r="O5" s="12">
        <v>4</v>
      </c>
      <c r="P5" s="12"/>
      <c r="Q5" s="2">
        <f t="shared" si="0"/>
        <v>9</v>
      </c>
      <c r="R5" s="2">
        <f t="shared" si="1"/>
        <v>24</v>
      </c>
      <c r="S5" s="2">
        <f t="shared" si="2"/>
        <v>14</v>
      </c>
      <c r="T5" s="1">
        <v>2</v>
      </c>
      <c r="U5" s="1">
        <v>1</v>
      </c>
      <c r="V5" s="6">
        <v>2</v>
      </c>
      <c r="X5" s="7" t="s">
        <v>46</v>
      </c>
      <c r="Y5" s="7" t="s">
        <v>50</v>
      </c>
    </row>
    <row r="6" spans="1:25" hidden="1" x14ac:dyDescent="0.3">
      <c r="A6" s="1">
        <v>5</v>
      </c>
      <c r="B6" s="9" t="s">
        <v>10</v>
      </c>
      <c r="C6" s="9"/>
      <c r="D6" s="9"/>
      <c r="E6" s="9"/>
      <c r="F6" s="9"/>
      <c r="G6" s="9"/>
      <c r="H6" s="9"/>
      <c r="I6" s="3" t="s">
        <v>1</v>
      </c>
      <c r="J6" s="3">
        <v>2025</v>
      </c>
      <c r="K6" s="9" t="s">
        <v>12</v>
      </c>
      <c r="L6" s="9"/>
      <c r="M6" s="9"/>
      <c r="N6" s="9"/>
      <c r="O6" s="12">
        <v>2</v>
      </c>
      <c r="P6" s="12"/>
      <c r="Q6" s="2">
        <f t="shared" si="0"/>
        <v>6</v>
      </c>
      <c r="R6" s="2">
        <f t="shared" si="1"/>
        <v>12</v>
      </c>
      <c r="S6" s="2">
        <f t="shared" si="2"/>
        <v>8</v>
      </c>
      <c r="T6" s="1">
        <v>2</v>
      </c>
      <c r="U6" s="1">
        <v>1</v>
      </c>
      <c r="V6" s="6">
        <v>2</v>
      </c>
      <c r="X6" s="7" t="s">
        <v>46</v>
      </c>
      <c r="Y6" s="7" t="s">
        <v>51</v>
      </c>
    </row>
    <row r="7" spans="1:25" hidden="1" x14ac:dyDescent="0.3">
      <c r="A7" s="1">
        <v>6</v>
      </c>
      <c r="B7" s="9" t="s">
        <v>13</v>
      </c>
      <c r="C7" s="9"/>
      <c r="D7" s="9"/>
      <c r="E7" s="9"/>
      <c r="F7" s="9"/>
      <c r="G7" s="9"/>
      <c r="H7" s="9"/>
      <c r="I7" s="3" t="s">
        <v>1</v>
      </c>
      <c r="J7" s="3">
        <v>2025</v>
      </c>
      <c r="K7" s="9" t="s">
        <v>14</v>
      </c>
      <c r="L7" s="9"/>
      <c r="M7" s="9"/>
      <c r="N7" s="9"/>
      <c r="O7" s="12">
        <v>4</v>
      </c>
      <c r="P7" s="12"/>
      <c r="Q7" s="2">
        <f t="shared" si="0"/>
        <v>9</v>
      </c>
      <c r="R7" s="2">
        <f t="shared" si="1"/>
        <v>24</v>
      </c>
      <c r="S7" s="2">
        <f t="shared" si="2"/>
        <v>14</v>
      </c>
      <c r="T7" s="1">
        <v>2</v>
      </c>
      <c r="U7" s="1">
        <v>1</v>
      </c>
      <c r="V7" s="6">
        <v>2</v>
      </c>
      <c r="X7" s="7" t="s">
        <v>46</v>
      </c>
      <c r="Y7" s="7" t="s">
        <v>52</v>
      </c>
    </row>
    <row r="8" spans="1:25" hidden="1" x14ac:dyDescent="0.3">
      <c r="A8" s="1">
        <v>7</v>
      </c>
      <c r="B8" s="9" t="s">
        <v>15</v>
      </c>
      <c r="C8" s="9"/>
      <c r="D8" s="9"/>
      <c r="E8" s="9"/>
      <c r="F8" s="9"/>
      <c r="G8" s="9"/>
      <c r="H8" s="9"/>
      <c r="I8" s="3" t="s">
        <v>1</v>
      </c>
      <c r="J8" s="3">
        <v>2025</v>
      </c>
      <c r="K8" s="9" t="s">
        <v>16</v>
      </c>
      <c r="L8" s="9"/>
      <c r="M8" s="9"/>
      <c r="N8" s="9"/>
      <c r="O8" s="12">
        <v>3</v>
      </c>
      <c r="P8" s="12"/>
      <c r="Q8" s="2">
        <f t="shared" si="0"/>
        <v>6</v>
      </c>
      <c r="R8" s="2">
        <f t="shared" si="1"/>
        <v>18</v>
      </c>
      <c r="S8" s="2">
        <f t="shared" si="2"/>
        <v>11</v>
      </c>
      <c r="T8" s="1">
        <v>2</v>
      </c>
      <c r="U8" s="1">
        <v>1</v>
      </c>
      <c r="V8" s="6">
        <v>2</v>
      </c>
      <c r="X8" s="7" t="s">
        <v>46</v>
      </c>
      <c r="Y8" s="7" t="s">
        <v>53</v>
      </c>
    </row>
    <row r="9" spans="1:25" hidden="1" x14ac:dyDescent="0.3">
      <c r="A9" s="1">
        <v>8</v>
      </c>
      <c r="B9" s="9" t="s">
        <v>17</v>
      </c>
      <c r="C9" s="9"/>
      <c r="D9" s="9"/>
      <c r="E9" s="9"/>
      <c r="F9" s="9"/>
      <c r="G9" s="9"/>
      <c r="H9" s="9"/>
      <c r="I9" s="3" t="s">
        <v>1</v>
      </c>
      <c r="J9" s="3">
        <v>2025</v>
      </c>
      <c r="K9" s="9" t="s">
        <v>18</v>
      </c>
      <c r="L9" s="9"/>
      <c r="M9" s="9"/>
      <c r="N9" s="9"/>
      <c r="O9" s="12">
        <v>3</v>
      </c>
      <c r="P9" s="12"/>
      <c r="Q9" s="2">
        <f t="shared" si="0"/>
        <v>6</v>
      </c>
      <c r="R9" s="2">
        <f t="shared" si="1"/>
        <v>18</v>
      </c>
      <c r="S9" s="2">
        <f t="shared" si="2"/>
        <v>11</v>
      </c>
      <c r="T9" s="1">
        <v>2</v>
      </c>
      <c r="U9" s="1">
        <v>1</v>
      </c>
      <c r="V9" s="6">
        <v>2</v>
      </c>
      <c r="X9" s="7" t="s">
        <v>46</v>
      </c>
      <c r="Y9" s="7" t="s">
        <v>54</v>
      </c>
    </row>
    <row r="10" spans="1:25" hidden="1" x14ac:dyDescent="0.3">
      <c r="A10" s="1">
        <v>9</v>
      </c>
      <c r="B10" s="9" t="s">
        <v>44</v>
      </c>
      <c r="C10" s="9"/>
      <c r="D10" s="9"/>
      <c r="E10" s="9"/>
      <c r="F10" s="9"/>
      <c r="G10" s="9"/>
      <c r="H10" s="9"/>
      <c r="I10" s="3" t="s">
        <v>1</v>
      </c>
      <c r="J10" s="3">
        <v>2025</v>
      </c>
      <c r="K10" s="9" t="s">
        <v>19</v>
      </c>
      <c r="L10" s="9"/>
      <c r="M10" s="9"/>
      <c r="N10" s="9"/>
      <c r="O10" s="12">
        <v>3</v>
      </c>
      <c r="P10" s="12"/>
      <c r="Q10" s="2">
        <f t="shared" si="0"/>
        <v>6</v>
      </c>
      <c r="R10" s="2">
        <f t="shared" si="1"/>
        <v>18</v>
      </c>
      <c r="S10" s="2">
        <f t="shared" si="2"/>
        <v>11</v>
      </c>
      <c r="T10" s="1">
        <v>2</v>
      </c>
      <c r="U10" s="1">
        <v>1</v>
      </c>
      <c r="V10" s="6">
        <v>2</v>
      </c>
      <c r="X10" s="7" t="s">
        <v>46</v>
      </c>
      <c r="Y10" s="7" t="s">
        <v>55</v>
      </c>
    </row>
    <row r="11" spans="1:25" hidden="1" x14ac:dyDescent="0.3">
      <c r="A11" s="1">
        <v>10</v>
      </c>
      <c r="B11" s="9" t="s">
        <v>20</v>
      </c>
      <c r="C11" s="9"/>
      <c r="D11" s="9"/>
      <c r="E11" s="9"/>
      <c r="F11" s="9"/>
      <c r="G11" s="9"/>
      <c r="H11" s="9"/>
      <c r="I11" s="3" t="s">
        <v>1</v>
      </c>
      <c r="J11" s="3">
        <v>2025</v>
      </c>
      <c r="K11" s="9" t="s">
        <v>21</v>
      </c>
      <c r="L11" s="9"/>
      <c r="M11" s="9"/>
      <c r="N11" s="9"/>
      <c r="O11" s="12">
        <v>4</v>
      </c>
      <c r="P11" s="12"/>
      <c r="Q11" s="2">
        <f t="shared" si="0"/>
        <v>9</v>
      </c>
      <c r="R11" s="2">
        <f t="shared" si="1"/>
        <v>24</v>
      </c>
      <c r="S11" s="2">
        <f t="shared" si="2"/>
        <v>14</v>
      </c>
      <c r="T11" s="1">
        <v>2</v>
      </c>
      <c r="U11" s="1">
        <v>1</v>
      </c>
      <c r="V11" s="6">
        <v>2</v>
      </c>
      <c r="X11" s="7" t="s">
        <v>46</v>
      </c>
      <c r="Y11" s="7" t="s">
        <v>56</v>
      </c>
    </row>
    <row r="12" spans="1:25" hidden="1" x14ac:dyDescent="0.3">
      <c r="A12" s="1">
        <v>11</v>
      </c>
      <c r="B12" s="9" t="s">
        <v>22</v>
      </c>
      <c r="C12" s="9"/>
      <c r="D12" s="9"/>
      <c r="E12" s="9"/>
      <c r="F12" s="9"/>
      <c r="G12" s="9"/>
      <c r="H12" s="9"/>
      <c r="I12" s="3" t="s">
        <v>43</v>
      </c>
      <c r="J12" s="3">
        <v>2026</v>
      </c>
      <c r="K12" s="9" t="s">
        <v>23</v>
      </c>
      <c r="L12" s="9"/>
      <c r="M12" s="9"/>
      <c r="N12" s="9"/>
      <c r="O12" s="12">
        <v>4</v>
      </c>
      <c r="P12" s="12"/>
      <c r="Q12" s="2">
        <f t="shared" si="0"/>
        <v>9</v>
      </c>
      <c r="R12" s="2">
        <f t="shared" si="1"/>
        <v>24</v>
      </c>
      <c r="S12" s="2">
        <f t="shared" si="2"/>
        <v>14</v>
      </c>
      <c r="T12" s="1">
        <v>2</v>
      </c>
      <c r="U12" s="1">
        <v>1</v>
      </c>
      <c r="V12" s="6">
        <v>2</v>
      </c>
      <c r="X12" s="7" t="s">
        <v>46</v>
      </c>
      <c r="Y12" s="7" t="s">
        <v>57</v>
      </c>
    </row>
    <row r="13" spans="1:25" hidden="1" x14ac:dyDescent="0.3">
      <c r="A13" s="1">
        <v>12</v>
      </c>
      <c r="B13" s="9" t="s">
        <v>24</v>
      </c>
      <c r="C13" s="9"/>
      <c r="D13" s="9"/>
      <c r="E13" s="9"/>
      <c r="F13" s="9"/>
      <c r="G13" s="9"/>
      <c r="H13" s="9"/>
      <c r="I13" s="3" t="s">
        <v>43</v>
      </c>
      <c r="J13" s="3">
        <v>2026</v>
      </c>
      <c r="K13" s="9" t="s">
        <v>25</v>
      </c>
      <c r="L13" s="9"/>
      <c r="M13" s="9"/>
      <c r="N13" s="9"/>
      <c r="O13" s="12">
        <v>2</v>
      </c>
      <c r="P13" s="12"/>
      <c r="Q13" s="2">
        <f t="shared" si="0"/>
        <v>6</v>
      </c>
      <c r="R13" s="2">
        <f t="shared" si="1"/>
        <v>12</v>
      </c>
      <c r="S13" s="2">
        <f t="shared" si="2"/>
        <v>8</v>
      </c>
      <c r="T13" s="1">
        <v>2</v>
      </c>
      <c r="U13" s="1">
        <v>1</v>
      </c>
      <c r="V13" s="6">
        <v>2</v>
      </c>
      <c r="X13" s="7" t="s">
        <v>46</v>
      </c>
      <c r="Y13" s="7" t="s">
        <v>58</v>
      </c>
    </row>
    <row r="14" spans="1:25" hidden="1" x14ac:dyDescent="0.3">
      <c r="A14" s="1">
        <v>13</v>
      </c>
      <c r="B14" s="9" t="s">
        <v>26</v>
      </c>
      <c r="C14" s="9"/>
      <c r="D14" s="9"/>
      <c r="E14" s="9"/>
      <c r="F14" s="9"/>
      <c r="G14" s="9"/>
      <c r="H14" s="9"/>
      <c r="I14" s="3" t="s">
        <v>1</v>
      </c>
      <c r="J14" s="3">
        <v>2025</v>
      </c>
      <c r="K14" s="9" t="s">
        <v>27</v>
      </c>
      <c r="L14" s="9"/>
      <c r="M14" s="9"/>
      <c r="N14" s="9"/>
      <c r="O14" s="12">
        <v>3</v>
      </c>
      <c r="P14" s="12"/>
      <c r="Q14" s="2">
        <f t="shared" si="0"/>
        <v>6</v>
      </c>
      <c r="R14" s="2">
        <f t="shared" si="1"/>
        <v>18</v>
      </c>
      <c r="S14" s="2">
        <f t="shared" si="2"/>
        <v>11</v>
      </c>
      <c r="T14" s="1">
        <v>2</v>
      </c>
      <c r="U14" s="1">
        <v>1</v>
      </c>
      <c r="V14" s="6">
        <v>2</v>
      </c>
      <c r="X14" s="7" t="s">
        <v>46</v>
      </c>
      <c r="Y14" s="7" t="s">
        <v>59</v>
      </c>
    </row>
    <row r="15" spans="1:25" hidden="1" x14ac:dyDescent="0.3">
      <c r="A15" s="1">
        <v>14</v>
      </c>
      <c r="B15" s="9" t="s">
        <v>28</v>
      </c>
      <c r="C15" s="9"/>
      <c r="D15" s="9"/>
      <c r="E15" s="9"/>
      <c r="F15" s="9"/>
      <c r="G15" s="9"/>
      <c r="H15" s="9"/>
      <c r="I15" s="3" t="s">
        <v>1</v>
      </c>
      <c r="J15" s="3">
        <v>2025</v>
      </c>
      <c r="K15" s="9" t="s">
        <v>29</v>
      </c>
      <c r="L15" s="9"/>
      <c r="M15" s="9"/>
      <c r="N15" s="9"/>
      <c r="O15" s="12">
        <v>2</v>
      </c>
      <c r="P15" s="12"/>
      <c r="Q15" s="2">
        <f t="shared" si="0"/>
        <v>6</v>
      </c>
      <c r="R15" s="2">
        <f t="shared" si="1"/>
        <v>12</v>
      </c>
      <c r="S15" s="2">
        <f t="shared" si="2"/>
        <v>8</v>
      </c>
      <c r="T15" s="1">
        <v>2</v>
      </c>
      <c r="U15" s="1">
        <v>1</v>
      </c>
      <c r="V15" s="6">
        <v>2</v>
      </c>
      <c r="X15" s="7" t="s">
        <v>46</v>
      </c>
      <c r="Y15" s="7" t="s">
        <v>60</v>
      </c>
    </row>
    <row r="16" spans="1:25" hidden="1" x14ac:dyDescent="0.3">
      <c r="A16" s="1">
        <v>15</v>
      </c>
      <c r="B16" s="9" t="s">
        <v>30</v>
      </c>
      <c r="C16" s="9"/>
      <c r="D16" s="9"/>
      <c r="E16" s="9"/>
      <c r="F16" s="9"/>
      <c r="G16" s="9"/>
      <c r="H16" s="9"/>
      <c r="I16" s="3" t="s">
        <v>1</v>
      </c>
      <c r="J16" s="3">
        <v>2025</v>
      </c>
      <c r="K16" s="9" t="s">
        <v>31</v>
      </c>
      <c r="L16" s="9"/>
      <c r="M16" s="9"/>
      <c r="N16" s="9"/>
      <c r="O16" s="12">
        <v>6</v>
      </c>
      <c r="P16" s="12"/>
      <c r="Q16" s="2">
        <f t="shared" si="0"/>
        <v>15</v>
      </c>
      <c r="R16" s="2">
        <f t="shared" si="1"/>
        <v>36</v>
      </c>
      <c r="S16" s="2">
        <f t="shared" si="2"/>
        <v>20</v>
      </c>
      <c r="T16" s="1">
        <v>2</v>
      </c>
      <c r="U16" s="1">
        <v>1</v>
      </c>
      <c r="V16" s="6">
        <v>2</v>
      </c>
      <c r="X16" s="7" t="s">
        <v>46</v>
      </c>
      <c r="Y16" s="7" t="s">
        <v>61</v>
      </c>
    </row>
    <row r="17" spans="1:25" hidden="1" x14ac:dyDescent="0.3">
      <c r="A17" s="1">
        <v>16</v>
      </c>
      <c r="B17" s="9" t="s">
        <v>33</v>
      </c>
      <c r="C17" s="9"/>
      <c r="D17" s="9"/>
      <c r="E17" s="9"/>
      <c r="F17" s="9"/>
      <c r="G17" s="9"/>
      <c r="H17" s="9"/>
      <c r="I17" s="3" t="s">
        <v>42</v>
      </c>
      <c r="J17" s="3">
        <v>2025</v>
      </c>
      <c r="K17" s="9" t="s">
        <v>32</v>
      </c>
      <c r="L17" s="9"/>
      <c r="M17" s="9"/>
      <c r="N17" s="9"/>
      <c r="O17" s="13">
        <v>5</v>
      </c>
      <c r="P17" s="13"/>
      <c r="Q17" s="2">
        <f t="shared" si="0"/>
        <v>9</v>
      </c>
      <c r="R17" s="2">
        <f t="shared" si="1"/>
        <v>30</v>
      </c>
      <c r="S17" s="2">
        <f t="shared" si="2"/>
        <v>17</v>
      </c>
      <c r="T17" s="1">
        <v>2</v>
      </c>
      <c r="U17" s="1">
        <v>1</v>
      </c>
      <c r="V17" s="6">
        <v>2</v>
      </c>
      <c r="X17" s="7" t="s">
        <v>46</v>
      </c>
      <c r="Y17" s="7" t="s">
        <v>62</v>
      </c>
    </row>
    <row r="18" spans="1:25" x14ac:dyDescent="0.3">
      <c r="A18" s="1">
        <v>17</v>
      </c>
      <c r="B18" s="9" t="s">
        <v>34</v>
      </c>
      <c r="C18" s="9"/>
      <c r="D18" s="9"/>
      <c r="E18" s="9"/>
      <c r="F18" s="9"/>
      <c r="G18" s="9"/>
      <c r="H18" s="9"/>
      <c r="I18" s="3" t="s">
        <v>1</v>
      </c>
      <c r="J18" s="3">
        <v>2025</v>
      </c>
      <c r="K18" s="9" t="s">
        <v>35</v>
      </c>
      <c r="L18" s="9"/>
      <c r="M18" s="9"/>
      <c r="N18" s="9"/>
      <c r="O18" s="13">
        <v>6</v>
      </c>
      <c r="P18" s="13"/>
      <c r="Q18" s="2">
        <f t="shared" si="0"/>
        <v>15</v>
      </c>
      <c r="R18" s="2">
        <f t="shared" si="1"/>
        <v>36</v>
      </c>
      <c r="S18" s="2">
        <f t="shared" si="2"/>
        <v>20</v>
      </c>
      <c r="T18" s="1">
        <v>2</v>
      </c>
      <c r="U18" s="1">
        <v>1</v>
      </c>
      <c r="V18" s="6">
        <v>2</v>
      </c>
      <c r="W18" s="6">
        <v>2</v>
      </c>
      <c r="X18" s="7" t="s">
        <v>46</v>
      </c>
      <c r="Y18" s="7" t="s">
        <v>63</v>
      </c>
    </row>
    <row r="19" spans="1:25" hidden="1" x14ac:dyDescent="0.3">
      <c r="A19" s="1">
        <v>18</v>
      </c>
      <c r="B19" s="9" t="s">
        <v>36</v>
      </c>
      <c r="C19" s="9"/>
      <c r="D19" s="9"/>
      <c r="E19" s="9"/>
      <c r="F19" s="9"/>
      <c r="G19" s="9"/>
      <c r="H19" s="9"/>
      <c r="I19" s="3" t="s">
        <v>1</v>
      </c>
      <c r="J19" s="3">
        <v>2025</v>
      </c>
      <c r="K19" s="9" t="s">
        <v>27</v>
      </c>
      <c r="L19" s="9"/>
      <c r="M19" s="9"/>
      <c r="N19" s="9"/>
      <c r="O19" s="13">
        <v>3</v>
      </c>
      <c r="P19" s="13"/>
      <c r="Q19" s="2">
        <f t="shared" si="0"/>
        <v>6</v>
      </c>
      <c r="R19" s="2">
        <f t="shared" si="1"/>
        <v>18</v>
      </c>
      <c r="S19" s="2">
        <f t="shared" si="2"/>
        <v>11</v>
      </c>
      <c r="T19" s="1">
        <v>2</v>
      </c>
      <c r="U19" s="1">
        <v>1</v>
      </c>
      <c r="V19" s="6">
        <v>2</v>
      </c>
      <c r="W19" s="6">
        <v>2</v>
      </c>
      <c r="X19" s="7" t="s">
        <v>46</v>
      </c>
      <c r="Y19" s="7" t="s">
        <v>64</v>
      </c>
    </row>
    <row r="20" spans="1:25" hidden="1" x14ac:dyDescent="0.3">
      <c r="A20" s="1">
        <v>19</v>
      </c>
      <c r="B20" s="9" t="s">
        <v>37</v>
      </c>
      <c r="C20" s="9"/>
      <c r="D20" s="9"/>
      <c r="E20" s="9"/>
      <c r="F20" s="9"/>
      <c r="G20" s="9"/>
      <c r="H20" s="9"/>
      <c r="I20" s="3" t="s">
        <v>1</v>
      </c>
      <c r="J20" s="3">
        <v>2025</v>
      </c>
      <c r="K20" s="9" t="s">
        <v>38</v>
      </c>
      <c r="L20" s="9"/>
      <c r="M20" s="9"/>
      <c r="N20" s="9"/>
      <c r="O20" s="13">
        <v>3</v>
      </c>
      <c r="P20" s="13"/>
      <c r="Q20" s="2">
        <f t="shared" si="0"/>
        <v>6</v>
      </c>
      <c r="R20" s="2">
        <f t="shared" si="1"/>
        <v>18</v>
      </c>
      <c r="S20" s="2">
        <f t="shared" si="2"/>
        <v>11</v>
      </c>
      <c r="T20" s="1">
        <v>2</v>
      </c>
      <c r="U20" s="1">
        <v>1</v>
      </c>
      <c r="V20" s="6">
        <v>2</v>
      </c>
      <c r="W20" s="6">
        <v>2</v>
      </c>
      <c r="X20" s="7" t="s">
        <v>46</v>
      </c>
      <c r="Y20" s="7" t="s">
        <v>65</v>
      </c>
    </row>
    <row r="21" spans="1:25" hidden="1" x14ac:dyDescent="0.3">
      <c r="A21" s="1">
        <v>20</v>
      </c>
      <c r="B21" s="9" t="s">
        <v>39</v>
      </c>
      <c r="C21" s="9"/>
      <c r="D21" s="9"/>
      <c r="E21" s="9"/>
      <c r="F21" s="9"/>
      <c r="G21" s="9"/>
      <c r="H21" s="9"/>
      <c r="I21" s="3" t="s">
        <v>45</v>
      </c>
      <c r="J21" s="3">
        <v>2025</v>
      </c>
      <c r="K21" s="9" t="s">
        <v>35</v>
      </c>
      <c r="L21" s="9"/>
      <c r="M21" s="9"/>
      <c r="N21" s="9"/>
      <c r="O21" s="13">
        <v>5</v>
      </c>
      <c r="P21" s="13"/>
      <c r="Q21" s="2">
        <f t="shared" si="0"/>
        <v>9</v>
      </c>
      <c r="R21" s="2">
        <f t="shared" si="1"/>
        <v>30</v>
      </c>
      <c r="S21" s="2">
        <f t="shared" si="2"/>
        <v>17</v>
      </c>
      <c r="T21" s="1">
        <v>2</v>
      </c>
      <c r="U21" s="1">
        <v>1</v>
      </c>
      <c r="V21" s="6">
        <v>2</v>
      </c>
      <c r="W21" s="6">
        <v>2</v>
      </c>
      <c r="X21" s="7" t="s">
        <v>46</v>
      </c>
      <c r="Y21" s="7" t="s">
        <v>66</v>
      </c>
    </row>
    <row r="22" spans="1:25" x14ac:dyDescent="0.3">
      <c r="A22" s="1">
        <v>21</v>
      </c>
      <c r="B22" s="9" t="s">
        <v>40</v>
      </c>
      <c r="C22" s="9"/>
      <c r="D22" s="9"/>
      <c r="E22" s="9"/>
      <c r="F22" s="9"/>
      <c r="G22" s="9"/>
      <c r="H22" s="9"/>
      <c r="I22" s="3" t="s">
        <v>1</v>
      </c>
      <c r="J22" s="3">
        <v>2025</v>
      </c>
      <c r="K22" s="14" t="s">
        <v>35</v>
      </c>
      <c r="L22" s="15"/>
      <c r="M22" s="15"/>
      <c r="N22" s="16"/>
      <c r="O22" s="13">
        <v>6</v>
      </c>
      <c r="P22" s="13"/>
      <c r="Q22" s="2">
        <f t="shared" si="0"/>
        <v>15</v>
      </c>
      <c r="R22" s="2">
        <f t="shared" si="1"/>
        <v>36</v>
      </c>
      <c r="S22" s="2">
        <f t="shared" si="2"/>
        <v>20</v>
      </c>
      <c r="T22" s="1">
        <v>2</v>
      </c>
      <c r="U22" s="1">
        <v>1</v>
      </c>
      <c r="V22" s="6">
        <v>2</v>
      </c>
      <c r="W22" s="6">
        <v>2</v>
      </c>
      <c r="X22" s="7" t="s">
        <v>46</v>
      </c>
      <c r="Y22" s="7" t="s">
        <v>67</v>
      </c>
    </row>
    <row r="23" spans="1:25" hidden="1" x14ac:dyDescent="0.3">
      <c r="A23" s="1">
        <v>22</v>
      </c>
      <c r="B23" s="9" t="s">
        <v>41</v>
      </c>
      <c r="C23" s="9"/>
      <c r="D23" s="9"/>
      <c r="E23" s="9"/>
      <c r="F23" s="9"/>
      <c r="G23" s="9"/>
      <c r="H23" s="9"/>
      <c r="I23" s="3" t="s">
        <v>1</v>
      </c>
      <c r="J23" s="3">
        <v>2025</v>
      </c>
      <c r="K23" s="9" t="s">
        <v>21</v>
      </c>
      <c r="L23" s="9"/>
      <c r="M23" s="9"/>
      <c r="N23" s="9"/>
      <c r="O23" s="13">
        <v>4</v>
      </c>
      <c r="P23" s="13"/>
      <c r="Q23" s="2">
        <f t="shared" si="0"/>
        <v>9</v>
      </c>
      <c r="R23" s="2">
        <f t="shared" si="1"/>
        <v>24</v>
      </c>
      <c r="S23" s="2">
        <f t="shared" si="2"/>
        <v>14</v>
      </c>
      <c r="T23" s="1">
        <v>2</v>
      </c>
      <c r="U23" s="1">
        <v>1</v>
      </c>
      <c r="V23" s="6">
        <v>2</v>
      </c>
      <c r="X23" s="7" t="s">
        <v>46</v>
      </c>
      <c r="Y23" s="7" t="s">
        <v>68</v>
      </c>
    </row>
    <row r="25" spans="1:25" hidden="1" x14ac:dyDescent="0.3"/>
  </sheetData>
  <mergeCells count="70">
    <mergeCell ref="B23:H23"/>
    <mergeCell ref="K23:N23"/>
    <mergeCell ref="O23:P23"/>
    <mergeCell ref="O20:P20"/>
    <mergeCell ref="B21:H21"/>
    <mergeCell ref="K21:N21"/>
    <mergeCell ref="O21:P21"/>
    <mergeCell ref="B22:H22"/>
    <mergeCell ref="K22:N22"/>
    <mergeCell ref="O22:P22"/>
    <mergeCell ref="B19:H19"/>
    <mergeCell ref="K19:N19"/>
    <mergeCell ref="O19:P19"/>
    <mergeCell ref="B20:H20"/>
    <mergeCell ref="K20:N20"/>
    <mergeCell ref="B17:H17"/>
    <mergeCell ref="K17:N17"/>
    <mergeCell ref="O17:P17"/>
    <mergeCell ref="B18:H18"/>
    <mergeCell ref="K18:N18"/>
    <mergeCell ref="O18:P18"/>
    <mergeCell ref="B15:H15"/>
    <mergeCell ref="K15:N15"/>
    <mergeCell ref="O15:P15"/>
    <mergeCell ref="B16:H16"/>
    <mergeCell ref="K16:N16"/>
    <mergeCell ref="O16:P16"/>
    <mergeCell ref="B13:H13"/>
    <mergeCell ref="K13:N13"/>
    <mergeCell ref="O13:P13"/>
    <mergeCell ref="B14:H14"/>
    <mergeCell ref="K14:N14"/>
    <mergeCell ref="O14:P14"/>
    <mergeCell ref="B11:H11"/>
    <mergeCell ref="K11:N11"/>
    <mergeCell ref="O11:P11"/>
    <mergeCell ref="B12:H12"/>
    <mergeCell ref="K12:N12"/>
    <mergeCell ref="O12:P12"/>
    <mergeCell ref="B9:H9"/>
    <mergeCell ref="K9:N9"/>
    <mergeCell ref="O9:P9"/>
    <mergeCell ref="B10:H10"/>
    <mergeCell ref="K10:N10"/>
    <mergeCell ref="O10:P10"/>
    <mergeCell ref="B7:H7"/>
    <mergeCell ref="K7:N7"/>
    <mergeCell ref="O7:P7"/>
    <mergeCell ref="B8:H8"/>
    <mergeCell ref="K8:N8"/>
    <mergeCell ref="O8:P8"/>
    <mergeCell ref="B5:H5"/>
    <mergeCell ref="K5:N5"/>
    <mergeCell ref="O5:P5"/>
    <mergeCell ref="B6:H6"/>
    <mergeCell ref="K6:N6"/>
    <mergeCell ref="O6:P6"/>
    <mergeCell ref="B3:H3"/>
    <mergeCell ref="K3:N3"/>
    <mergeCell ref="O3:P3"/>
    <mergeCell ref="B4:H4"/>
    <mergeCell ref="K4:N4"/>
    <mergeCell ref="O4:P4"/>
    <mergeCell ref="B1:H1"/>
    <mergeCell ref="I1:J1"/>
    <mergeCell ref="K1:N1"/>
    <mergeCell ref="O1:P1"/>
    <mergeCell ref="B2:H2"/>
    <mergeCell ref="K2:N2"/>
    <mergeCell ref="O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512E-B984-4AB9-92BD-7213D94B856F}">
  <dimension ref="A1:L23"/>
  <sheetViews>
    <sheetView zoomScale="85" zoomScaleNormal="85" workbookViewId="0">
      <selection activeCell="B12" sqref="B12:H12"/>
    </sheetView>
  </sheetViews>
  <sheetFormatPr defaultRowHeight="14.4" x14ac:dyDescent="0.3"/>
  <cols>
    <col min="8" max="8" width="23.44140625" customWidth="1"/>
    <col min="9" max="9" width="12.33203125" customWidth="1"/>
    <col min="10" max="10" width="0" hidden="1" customWidth="1"/>
  </cols>
  <sheetData>
    <row r="1" spans="1:12" x14ac:dyDescent="0.3">
      <c r="I1" t="s">
        <v>73</v>
      </c>
      <c r="J1" t="s">
        <v>71</v>
      </c>
      <c r="K1" t="s">
        <v>72</v>
      </c>
      <c r="L1" t="s">
        <v>74</v>
      </c>
    </row>
    <row r="2" spans="1:12" x14ac:dyDescent="0.3">
      <c r="A2" s="1">
        <v>1</v>
      </c>
      <c r="B2" s="9" t="s">
        <v>0</v>
      </c>
      <c r="C2" s="9"/>
      <c r="D2" s="9"/>
      <c r="E2" s="9"/>
      <c r="F2" s="9"/>
      <c r="G2" s="9"/>
      <c r="H2" s="9"/>
      <c r="I2" s="7"/>
      <c r="J2" s="7"/>
      <c r="K2" s="17"/>
      <c r="L2" t="s">
        <v>75</v>
      </c>
    </row>
    <row r="3" spans="1:12" x14ac:dyDescent="0.3">
      <c r="A3" s="1">
        <v>2</v>
      </c>
      <c r="B3" s="9" t="s">
        <v>5</v>
      </c>
      <c r="C3" s="9"/>
      <c r="D3" s="9"/>
      <c r="E3" s="9"/>
      <c r="F3" s="9"/>
      <c r="G3" s="9"/>
      <c r="H3" s="9"/>
      <c r="I3" s="8"/>
      <c r="J3" s="7"/>
      <c r="K3" s="8"/>
    </row>
    <row r="4" spans="1:12" x14ac:dyDescent="0.3">
      <c r="A4" s="1">
        <v>3</v>
      </c>
      <c r="B4" s="9" t="s">
        <v>7</v>
      </c>
      <c r="C4" s="9"/>
      <c r="D4" s="9"/>
      <c r="E4" s="9"/>
      <c r="F4" s="9"/>
      <c r="G4" s="9"/>
      <c r="H4" s="9"/>
      <c r="I4" s="8"/>
      <c r="J4" s="7"/>
      <c r="K4" s="8"/>
    </row>
    <row r="5" spans="1:12" x14ac:dyDescent="0.3">
      <c r="A5" s="1">
        <v>4</v>
      </c>
      <c r="B5" s="9" t="s">
        <v>9</v>
      </c>
      <c r="C5" s="9"/>
      <c r="D5" s="9"/>
      <c r="E5" s="9"/>
      <c r="F5" s="9"/>
      <c r="G5" s="9"/>
      <c r="H5" s="9"/>
      <c r="I5" s="7"/>
      <c r="J5" s="7"/>
      <c r="L5" t="s">
        <v>75</v>
      </c>
    </row>
    <row r="6" spans="1:12" x14ac:dyDescent="0.3">
      <c r="A6" s="1">
        <v>5</v>
      </c>
      <c r="B6" s="9" t="s">
        <v>10</v>
      </c>
      <c r="C6" s="9"/>
      <c r="D6" s="9"/>
      <c r="E6" s="9"/>
      <c r="F6" s="9"/>
      <c r="G6" s="9"/>
      <c r="H6" s="9"/>
      <c r="I6" s="7"/>
      <c r="J6" s="8"/>
    </row>
    <row r="7" spans="1:12" x14ac:dyDescent="0.3">
      <c r="A7" s="1">
        <v>6</v>
      </c>
      <c r="B7" s="9" t="s">
        <v>13</v>
      </c>
      <c r="C7" s="9"/>
      <c r="D7" s="9"/>
      <c r="E7" s="9"/>
      <c r="F7" s="9"/>
      <c r="G7" s="9"/>
      <c r="H7" s="9"/>
      <c r="I7" s="7"/>
      <c r="J7" s="7"/>
      <c r="L7" t="s">
        <v>75</v>
      </c>
    </row>
    <row r="8" spans="1:12" x14ac:dyDescent="0.3">
      <c r="A8" s="1">
        <v>7</v>
      </c>
      <c r="B8" s="9" t="s">
        <v>15</v>
      </c>
      <c r="C8" s="9"/>
      <c r="D8" s="9"/>
      <c r="E8" s="9"/>
      <c r="F8" s="9"/>
      <c r="G8" s="9"/>
      <c r="H8" s="9"/>
      <c r="I8" s="7"/>
      <c r="J8" s="7"/>
      <c r="L8" t="s">
        <v>75</v>
      </c>
    </row>
    <row r="9" spans="1:12" x14ac:dyDescent="0.3">
      <c r="A9" s="1">
        <v>8</v>
      </c>
      <c r="B9" s="9" t="s">
        <v>17</v>
      </c>
      <c r="C9" s="9"/>
      <c r="D9" s="9"/>
      <c r="E9" s="9"/>
      <c r="F9" s="9"/>
      <c r="G9" s="9"/>
      <c r="H9" s="9"/>
      <c r="I9" s="8"/>
      <c r="J9" s="7"/>
      <c r="K9" s="8"/>
    </row>
    <row r="10" spans="1:12" x14ac:dyDescent="0.3">
      <c r="A10" s="1">
        <v>9</v>
      </c>
      <c r="B10" s="9" t="s">
        <v>44</v>
      </c>
      <c r="C10" s="9"/>
      <c r="D10" s="9"/>
      <c r="E10" s="9"/>
      <c r="F10" s="9"/>
      <c r="G10" s="9"/>
      <c r="H10" s="9"/>
      <c r="I10" s="7"/>
      <c r="J10" s="7"/>
    </row>
    <row r="11" spans="1:12" x14ac:dyDescent="0.3">
      <c r="A11" s="1">
        <v>10</v>
      </c>
      <c r="B11" s="9" t="s">
        <v>20</v>
      </c>
      <c r="C11" s="9"/>
      <c r="D11" s="9"/>
      <c r="E11" s="9"/>
      <c r="F11" s="9"/>
      <c r="G11" s="9"/>
      <c r="H11" s="9"/>
      <c r="I11" s="8"/>
      <c r="J11" s="7"/>
      <c r="K11" s="8"/>
    </row>
    <row r="12" spans="1:12" x14ac:dyDescent="0.3">
      <c r="A12" s="1">
        <v>11</v>
      </c>
      <c r="B12" s="9" t="s">
        <v>22</v>
      </c>
      <c r="C12" s="9"/>
      <c r="D12" s="9"/>
      <c r="E12" s="9"/>
      <c r="F12" s="9"/>
      <c r="G12" s="9"/>
      <c r="H12" s="9"/>
      <c r="I12" s="8"/>
      <c r="J12" s="7"/>
      <c r="K12" s="8"/>
    </row>
    <row r="13" spans="1:12" x14ac:dyDescent="0.3">
      <c r="A13" s="1">
        <v>12</v>
      </c>
      <c r="B13" s="9" t="s">
        <v>24</v>
      </c>
      <c r="C13" s="9"/>
      <c r="D13" s="9"/>
      <c r="E13" s="9"/>
      <c r="F13" s="9"/>
      <c r="G13" s="9"/>
      <c r="H13" s="9"/>
      <c r="I13" s="8"/>
      <c r="J13" s="7"/>
      <c r="K13" s="8"/>
    </row>
    <row r="14" spans="1:12" x14ac:dyDescent="0.3">
      <c r="A14" s="1">
        <v>13</v>
      </c>
      <c r="B14" s="9" t="s">
        <v>26</v>
      </c>
      <c r="C14" s="9"/>
      <c r="D14" s="9"/>
      <c r="E14" s="9"/>
      <c r="F14" s="9"/>
      <c r="G14" s="9"/>
      <c r="H14" s="9"/>
      <c r="I14" s="8"/>
      <c r="J14" s="8"/>
      <c r="K14" s="8"/>
    </row>
    <row r="15" spans="1:12" x14ac:dyDescent="0.3">
      <c r="A15" s="1">
        <v>14</v>
      </c>
      <c r="B15" s="9" t="s">
        <v>28</v>
      </c>
      <c r="C15" s="9"/>
      <c r="D15" s="9"/>
      <c r="E15" s="9"/>
      <c r="F15" s="9"/>
      <c r="G15" s="9"/>
      <c r="H15" s="9"/>
      <c r="I15" s="8"/>
      <c r="J15" s="7"/>
      <c r="K15" s="8"/>
    </row>
    <row r="16" spans="1:12" x14ac:dyDescent="0.3">
      <c r="A16" s="1">
        <v>15</v>
      </c>
      <c r="B16" s="9" t="s">
        <v>30</v>
      </c>
      <c r="C16" s="9"/>
      <c r="D16" s="9"/>
      <c r="E16" s="9"/>
      <c r="F16" s="9"/>
      <c r="G16" s="9"/>
      <c r="H16" s="9"/>
      <c r="I16" s="7"/>
      <c r="J16" s="7"/>
    </row>
    <row r="17" spans="1:11" x14ac:dyDescent="0.3">
      <c r="A17" s="1">
        <v>16</v>
      </c>
      <c r="B17" s="9" t="s">
        <v>33</v>
      </c>
      <c r="C17" s="9"/>
      <c r="D17" s="9"/>
      <c r="E17" s="9"/>
      <c r="F17" s="9"/>
      <c r="G17" s="9"/>
      <c r="H17" s="9"/>
      <c r="I17" s="8"/>
      <c r="J17" s="7"/>
      <c r="K17" s="8"/>
    </row>
    <row r="18" spans="1:11" x14ac:dyDescent="0.3">
      <c r="A18" s="1">
        <v>17</v>
      </c>
      <c r="B18" s="9" t="s">
        <v>34</v>
      </c>
      <c r="C18" s="9"/>
      <c r="D18" s="9"/>
      <c r="E18" s="9"/>
      <c r="F18" s="9"/>
      <c r="G18" s="9"/>
      <c r="H18" s="9"/>
      <c r="I18" s="8"/>
      <c r="J18" s="7"/>
      <c r="K18" s="8"/>
    </row>
    <row r="19" spans="1:11" x14ac:dyDescent="0.3">
      <c r="A19" s="1">
        <v>18</v>
      </c>
      <c r="B19" s="9" t="s">
        <v>36</v>
      </c>
      <c r="C19" s="9"/>
      <c r="D19" s="9"/>
      <c r="E19" s="9"/>
      <c r="F19" s="9"/>
      <c r="G19" s="9"/>
      <c r="H19" s="9"/>
      <c r="I19" s="8"/>
      <c r="J19" s="7"/>
      <c r="K19" s="8"/>
    </row>
    <row r="20" spans="1:11" x14ac:dyDescent="0.3">
      <c r="A20" s="1">
        <v>19</v>
      </c>
      <c r="B20" s="9" t="s">
        <v>37</v>
      </c>
      <c r="C20" s="9"/>
      <c r="D20" s="9"/>
      <c r="E20" s="9"/>
      <c r="F20" s="9"/>
      <c r="G20" s="9"/>
      <c r="H20" s="9"/>
      <c r="I20" s="8"/>
      <c r="J20" s="7"/>
      <c r="K20" s="8"/>
    </row>
    <row r="21" spans="1:11" x14ac:dyDescent="0.3">
      <c r="A21" s="1">
        <v>20</v>
      </c>
      <c r="B21" s="9" t="s">
        <v>39</v>
      </c>
      <c r="C21" s="9"/>
      <c r="D21" s="9"/>
      <c r="E21" s="9"/>
      <c r="F21" s="9"/>
      <c r="G21" s="9"/>
      <c r="H21" s="9"/>
      <c r="I21" s="8"/>
      <c r="J21" s="7"/>
      <c r="K21" s="8"/>
    </row>
    <row r="22" spans="1:11" x14ac:dyDescent="0.3">
      <c r="A22" s="1">
        <v>21</v>
      </c>
      <c r="B22" s="9" t="s">
        <v>40</v>
      </c>
      <c r="C22" s="9"/>
      <c r="D22" s="9"/>
      <c r="E22" s="9"/>
      <c r="F22" s="9"/>
      <c r="G22" s="9"/>
      <c r="H22" s="9"/>
      <c r="I22" s="8"/>
      <c r="J22" s="7"/>
      <c r="K22" s="8"/>
    </row>
    <row r="23" spans="1:11" x14ac:dyDescent="0.3">
      <c r="A23" s="1">
        <v>22</v>
      </c>
      <c r="B23" s="9" t="s">
        <v>41</v>
      </c>
      <c r="C23" s="9"/>
      <c r="D23" s="9"/>
      <c r="E23" s="9"/>
      <c r="F23" s="9"/>
      <c r="G23" s="9"/>
      <c r="H23" s="9"/>
      <c r="I23" s="8"/>
      <c r="J23" s="8"/>
      <c r="K23" s="8"/>
    </row>
  </sheetData>
  <mergeCells count="22">
    <mergeCell ref="B13:H13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20:H20"/>
    <mergeCell ref="B21:H21"/>
    <mergeCell ref="B22:H22"/>
    <mergeCell ref="B23:H23"/>
    <mergeCell ref="B14:H14"/>
    <mergeCell ref="B15:H15"/>
    <mergeCell ref="B16:H16"/>
    <mergeCell ref="B17:H17"/>
    <mergeCell ref="B18:H18"/>
    <mergeCell ref="B19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Atad</dc:creator>
  <cp:lastModifiedBy>Christian Atad</cp:lastModifiedBy>
  <dcterms:created xsi:type="dcterms:W3CDTF">2026-02-25T03:07:24Z</dcterms:created>
  <dcterms:modified xsi:type="dcterms:W3CDTF">2026-03-04T14:35:50Z</dcterms:modified>
</cp:coreProperties>
</file>